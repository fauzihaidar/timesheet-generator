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1 Sept 21 - 20 Okt 21" sheetId="1" state="visible" r:id="rId2"/>
  </sheets>
  <definedNames>
    <definedName function="false" hidden="false" localSheetId="0" name="_xlnm.Print_Area" vbProcedure="false">'21 Sept 21 - 20 Okt 21'!$A$2:$M$46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9" authorId="0">
      <text>
        <r>
          <rPr>
            <sz val="10"/>
            <color rgb="FF000000"/>
            <rFont val="Arial"/>
            <family val="0"/>
            <charset val="1"/>
          </rPr>
          <t xml:space="preserve">Imported Author:
TOG:
Over Time</t>
        </r>
      </text>
    </comment>
  </commentList>
</comments>
</file>

<file path=xl/sharedStrings.xml><?xml version="1.0" encoding="utf-8"?>
<sst xmlns="http://schemas.openxmlformats.org/spreadsheetml/2006/main" count="133" uniqueCount="44">
  <si>
    <t xml:space="preserve">Name</t>
  </si>
  <si>
    <t xml:space="preserve">Location</t>
  </si>
  <si>
    <t xml:space="preserve">Period</t>
  </si>
  <si>
    <t xml:space="preserve">Of Project</t>
  </si>
  <si>
    <t xml:space="preserve">PT. Triple One Global</t>
  </si>
  <si>
    <t xml:space="preserve">Tomang</t>
  </si>
  <si>
    <t xml:space="preserve">Fauzi Haidar Basyir</t>
  </si>
  <si>
    <t xml:space="preserve">Date</t>
  </si>
  <si>
    <t xml:space="preserve">Working Hour</t>
  </si>
  <si>
    <t xml:space="preserve">Over Time (OT)</t>
  </si>
  <si>
    <t xml:space="preserve">Lunch</t>
  </si>
  <si>
    <t xml:space="preserve">Total</t>
  </si>
  <si>
    <t xml:space="preserve">Activity / Remark</t>
  </si>
  <si>
    <t xml:space="preserve">Start</t>
  </si>
  <si>
    <t xml:space="preserve">-</t>
  </si>
  <si>
    <t xml:space="preserve">End</t>
  </si>
  <si>
    <t xml:space="preserve">Hour(s)</t>
  </si>
  <si>
    <t xml:space="preserve"> OT</t>
  </si>
  <si>
    <t xml:space="preserve">Cuti</t>
  </si>
  <si>
    <t xml:space="preserve">Test log</t>
  </si>
  <si>
    <t xml:space="preserve">CUT - OFF</t>
  </si>
  <si>
    <t xml:space="preserve">Total Hours ==&gt;</t>
  </si>
  <si>
    <t xml:space="preserve">Approval</t>
  </si>
  <si>
    <t xml:space="preserve">Employee</t>
  </si>
  <si>
    <t xml:space="preserve">Supervisor</t>
  </si>
  <si>
    <t xml:space="preserve">a.  Permit</t>
  </si>
  <si>
    <t xml:space="preserve">b.  Sick</t>
  </si>
  <si>
    <t xml:space="preserve">c.  Total Kehadiran</t>
  </si>
  <si>
    <t xml:space="preserve"> </t>
  </si>
  <si>
    <t xml:space="preserve">Tahun Baru</t>
  </si>
  <si>
    <t xml:space="preserve">Isra Miraj Nabi Muhammad SAW</t>
  </si>
  <si>
    <t xml:space="preserve">Tahun Baru Imlek</t>
  </si>
  <si>
    <t xml:space="preserve">Hari Suci Nyepi</t>
  </si>
  <si>
    <t xml:space="preserve">Idul Fitri 1446 Hijriah</t>
  </si>
  <si>
    <t xml:space="preserve">Wafat Yesus Kristus</t>
  </si>
  <si>
    <t xml:space="preserve">Kebangkitan Yesus Kristus</t>
  </si>
  <si>
    <t xml:space="preserve">Hari Raya Waisak</t>
  </si>
  <si>
    <t xml:space="preserve">Kenaikan Yesus Kristus</t>
  </si>
  <si>
    <t xml:space="preserve">Hari Lahir Pancasila</t>
  </si>
  <si>
    <t xml:space="preserve">Idul Adha 1446 Hijriah</t>
  </si>
  <si>
    <t xml:space="preserve">Tahun Baru Islam</t>
  </si>
  <si>
    <t xml:space="preserve">Kemerdekaan</t>
  </si>
  <si>
    <t xml:space="preserve">Maulid Nabi Muhammad SAW</t>
  </si>
  <si>
    <t xml:space="preserve">Hari Raya Natal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</si>
</sst>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&quot;. &quot;mmm&quot;. &quot;yyyy"/>
    <numFmt numFmtId="167" formatCode="dd\-mmm\-yyyy"/>
    <numFmt numFmtId="168" formatCode="hh:mm"/>
    <numFmt numFmtId="169" formatCode="0.00"/>
    <numFmt numFmtId="170" formatCode="0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Arial"/>
      <family val="0"/>
      <charset val="1"/>
    </font>
    <font>
      <sz val="8"/>
      <color rgb="FF000000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10"/>
      <color rgb="FFC00000"/>
      <name val="Arial"/>
      <family val="2"/>
      <charset val="1"/>
    </font>
    <font>
      <b val="true"/>
      <sz val="8"/>
      <color rgb="FFFF0000"/>
      <name val="Calibri"/>
      <family val="2"/>
      <charset val="1"/>
    </font>
    <font>
      <b val="true"/>
      <sz val="8"/>
      <color rgb="FFC0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F243E"/>
        <bgColor rgb="FF00153E"/>
      </patternFill>
    </fill>
    <fill>
      <patternFill patternType="solid">
        <fgColor rgb="FF0070C0"/>
        <bgColor rgb="FF008080"/>
      </patternFill>
    </fill>
    <fill>
      <patternFill patternType="solid">
        <fgColor rgb="FF0015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666699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rgb="FFAAAAAA"/>
      </right>
      <top/>
      <bottom style="thin"/>
      <diagonal/>
    </border>
    <border diagonalUp="false" diagonalDown="false">
      <left style="thin">
        <color rgb="FFAAAAAA"/>
      </left>
      <right style="thin"/>
      <top/>
      <bottom style="thin"/>
      <diagonal/>
    </border>
    <border diagonalUp="false" diagonalDown="false">
      <left style="thin"/>
      <right style="thin">
        <color rgb="FFAAAAAA"/>
      </right>
      <top style="thin"/>
      <bottom/>
      <diagonal/>
    </border>
    <border diagonalUp="false" diagonalDown="false">
      <left style="thin">
        <color rgb="FFAAAAAA"/>
      </left>
      <right style="thin">
        <color rgb="FFAAAAAA"/>
      </right>
      <top style="thin"/>
      <bottom style="thin">
        <color rgb="FFAAAAAA"/>
      </bottom>
      <diagonal/>
    </border>
    <border diagonalUp="false" diagonalDown="false">
      <left style="thin">
        <color rgb="FFAAAAAA"/>
      </left>
      <right style="thin"/>
      <top style="thin"/>
      <bottom style="thin">
        <color rgb="FFAAAAAA"/>
      </bottom>
      <diagonal/>
    </border>
    <border diagonalUp="false" diagonalDown="false">
      <left style="thin"/>
      <right style="thin"/>
      <top/>
      <bottom style="thin">
        <color rgb="FFAAAAAA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AAAAAA"/>
      </left>
      <right style="thin"/>
      <top style="thin"/>
      <bottom style="thin"/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/>
      <bottom style="thin">
        <color rgb="FFAAAAAA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  <border diagonalUp="false" diagonalDown="false">
      <left style="thin"/>
      <right style="thin">
        <color rgb="FFAAAAAA"/>
      </right>
      <top style="thin"/>
      <bottom style="thin">
        <color rgb="FFAAAAAA"/>
      </bottom>
      <diagonal/>
    </border>
    <border diagonalUp="false" diagonalDown="false">
      <left style="thin"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 style="thin"/>
      <top style="thin"/>
      <bottom style="thin">
        <color rgb="FFAAAAAA"/>
      </bottom>
      <diagonal/>
    </border>
    <border diagonalUp="false" diagonalDown="false">
      <left/>
      <right style="thin"/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>
        <color rgb="FFAAAAAA"/>
      </right>
      <top/>
      <bottom style="thin">
        <color rgb="FFAAAAAA"/>
      </bottom>
      <diagonal/>
    </border>
    <border diagonalUp="false" diagonalDown="false">
      <left/>
      <right style="thin"/>
      <top/>
      <bottom style="thin">
        <color rgb="FFAAAAAA"/>
      </bottom>
      <diagonal/>
    </border>
    <border diagonalUp="false" diagonalDown="false">
      <left style="thin">
        <color rgb="FFAAAAAA"/>
      </left>
      <right style="thin"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top" textRotation="0" wrapText="false" indent="0" shrinkToFit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top" textRotation="0" wrapText="false" indent="0" shrinkToFit="false"/>
    </xf>
    <xf numFmtId="164" fontId="7" fillId="0" borderId="0" applyFont="true" applyBorder="false" applyAlignment="true" applyProtection="false">
      <alignment horizontal="general" vertical="top" textRotation="0" wrapText="false" indent="0" shrinkToFit="false"/>
    </xf>
    <xf numFmtId="164" fontId="8" fillId="0" borderId="0" applyFont="true" applyBorder="false" applyAlignment="true" applyProtection="false">
      <alignment horizontal="general" vertical="top" textRotation="0" wrapText="false" indent="0" shrinkToFit="false"/>
    </xf>
    <xf numFmtId="164" fontId="6" fillId="0" borderId="0" applyFont="true" applyBorder="false" applyAlignment="true" applyProtection="false">
      <alignment horizontal="general" vertical="top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9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9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8" fontId="8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16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2" borderId="2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2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2" borderId="2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7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erah otomatis" xfId="20"/>
    <cellStyle name="Normal 2" xfId="21"/>
    <cellStyle name="otomatis new" xfId="22"/>
    <cellStyle name="otomatis1" xfId="23"/>
    <cellStyle name="Untitled1" xfId="24"/>
    <cellStyle name="Untitled2" xfId="25"/>
    <cellStyle name="Untitled3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153E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F24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48960</xdr:colOff>
      <xdr:row>1</xdr:row>
      <xdr:rowOff>38160</xdr:rowOff>
    </xdr:from>
    <xdr:to>
      <xdr:col>10</xdr:col>
      <xdr:colOff>995400</xdr:colOff>
      <xdr:row>6</xdr:row>
      <xdr:rowOff>2160</xdr:rowOff>
    </xdr:to>
    <xdr:pic>
      <xdr:nvPicPr>
        <xdr:cNvPr id="0" name="Picture 5" descr="C:\Users\PC\Desktop\Logo TOG Rec New.pngLogo TOG Rec New"/>
        <xdr:cNvPicPr/>
      </xdr:nvPicPr>
      <xdr:blipFill>
        <a:blip r:embed="rId1"/>
        <a:stretch/>
      </xdr:blipFill>
      <xdr:spPr>
        <a:xfrm>
          <a:off x="4245840" y="162000"/>
          <a:ext cx="946440" cy="61164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10</xdr:col>
      <xdr:colOff>302400</xdr:colOff>
      <xdr:row>42</xdr:row>
      <xdr:rowOff>142200</xdr:rowOff>
    </xdr:from>
    <xdr:to>
      <xdr:col>10</xdr:col>
      <xdr:colOff>786600</xdr:colOff>
      <xdr:row>45</xdr:row>
      <xdr:rowOff>100800</xdr:rowOff>
    </xdr:to>
    <xdr:pic>
      <xdr:nvPicPr>
        <xdr:cNvPr id="1" name="Image 1" descr=""/>
        <xdr:cNvPicPr/>
      </xdr:nvPicPr>
      <xdr:blipFill>
        <a:blip r:embed="rId2"/>
        <a:srcRect l="-10523" t="13215" r="0" b="23482"/>
        <a:stretch/>
      </xdr:blipFill>
      <xdr:spPr>
        <a:xfrm>
          <a:off x="4499280" y="8162280"/>
          <a:ext cx="484200" cy="406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0" activeCellId="0" sqref="K38:M40"/>
    </sheetView>
  </sheetViews>
  <sheetFormatPr defaultColWidth="17.5703125" defaultRowHeight="12.7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.42"/>
    <col collapsed="false" customWidth="true" hidden="false" outlineLevel="0" max="3" min="3" style="1" width="4.71"/>
    <col collapsed="false" customWidth="true" hidden="false" outlineLevel="0" max="4" min="4" style="1" width="5.42"/>
    <col collapsed="false" customWidth="true" hidden="false" outlineLevel="0" max="5" min="5" style="1" width="4.86"/>
    <col collapsed="false" customWidth="true" hidden="false" outlineLevel="0" max="6" min="6" style="1" width="2.42"/>
    <col collapsed="false" customWidth="true" hidden="false" outlineLevel="0" max="7" min="7" style="1" width="5"/>
    <col collapsed="false" customWidth="true" hidden="false" outlineLevel="0" max="8" min="8" style="1" width="5.42"/>
    <col collapsed="false" customWidth="true" hidden="false" outlineLevel="0" max="9" min="9" style="1" width="7.71"/>
    <col collapsed="false" customWidth="true" hidden="false" outlineLevel="0" max="10" min="10" style="1" width="5.42"/>
    <col collapsed="false" customWidth="true" hidden="false" outlineLevel="0" max="11" min="11" style="1" width="15.71"/>
    <col collapsed="false" customWidth="true" hidden="false" outlineLevel="0" max="12" min="12" style="1" width="13"/>
    <col collapsed="false" customWidth="true" hidden="false" outlineLevel="0" max="13" min="13" style="1" width="12.86"/>
    <col collapsed="false" customWidth="true" hidden="false" outlineLevel="0" max="14" min="14" style="1" width="8.71"/>
    <col collapsed="false" customWidth="true" hidden="false" outlineLevel="0" max="244" min="15" style="1" width="17.29"/>
    <col collapsed="false" customWidth="true" hidden="false" outlineLevel="0" max="16384" min="16372" style="1" width="11.53"/>
  </cols>
  <sheetData>
    <row r="1" customFormat="false" ht="9.75" hidden="false" customHeight="true" outlineLevel="0" collapsed="false">
      <c r="A1" s="2"/>
      <c r="B1" s="2"/>
      <c r="C1" s="2"/>
      <c r="D1" s="2"/>
      <c r="E1" s="2"/>
      <c r="F1" s="2"/>
      <c r="G1" s="2" t="n">
        <v>8</v>
      </c>
      <c r="H1" s="2"/>
      <c r="I1" s="3"/>
      <c r="J1" s="3"/>
      <c r="K1" s="3"/>
      <c r="L1" s="3"/>
      <c r="M1" s="3"/>
      <c r="N1" s="4"/>
    </row>
    <row r="2" customFormat="false" ht="12" hidden="false" customHeight="true" outlineLevel="0" collapsed="false">
      <c r="A2" s="5" t="s">
        <v>0</v>
      </c>
      <c r="B2" s="6" t="s">
        <v>1</v>
      </c>
      <c r="C2" s="6"/>
      <c r="D2" s="6"/>
      <c r="E2" s="6" t="s">
        <v>0</v>
      </c>
      <c r="F2" s="6"/>
      <c r="G2" s="6"/>
      <c r="H2" s="6"/>
      <c r="I2" s="6"/>
      <c r="J2" s="6"/>
      <c r="K2" s="7"/>
      <c r="L2" s="8" t="s">
        <v>2</v>
      </c>
      <c r="M2" s="8"/>
      <c r="N2" s="4"/>
    </row>
    <row r="3" customFormat="false" ht="12" hidden="false" customHeight="true" outlineLevel="0" collapsed="false">
      <c r="A3" s="9" t="s">
        <v>3</v>
      </c>
      <c r="B3" s="6"/>
      <c r="C3" s="6"/>
      <c r="D3" s="6"/>
      <c r="E3" s="6"/>
      <c r="F3" s="6"/>
      <c r="G3" s="6"/>
      <c r="H3" s="6"/>
      <c r="I3" s="6"/>
      <c r="J3" s="6"/>
      <c r="K3" s="7"/>
      <c r="L3" s="8"/>
      <c r="M3" s="8"/>
      <c r="N3" s="4"/>
    </row>
    <row r="4" customFormat="false" ht="6" hidden="false" customHeight="true" outlineLevel="0" collapsed="false">
      <c r="A4" s="10"/>
      <c r="B4" s="10"/>
      <c r="C4" s="10"/>
      <c r="D4" s="10"/>
      <c r="E4" s="11"/>
      <c r="F4" s="11"/>
      <c r="G4" s="11"/>
      <c r="H4" s="11"/>
      <c r="I4" s="11"/>
      <c r="J4" s="11"/>
      <c r="K4" s="7"/>
      <c r="L4" s="12"/>
      <c r="M4" s="12"/>
      <c r="N4" s="4"/>
    </row>
    <row r="5" customFormat="false" ht="13.5" hidden="false" customHeight="true" outlineLevel="0" collapsed="false">
      <c r="A5" s="13" t="s">
        <v>4</v>
      </c>
      <c r="B5" s="14" t="s">
        <v>5</v>
      </c>
      <c r="C5" s="14"/>
      <c r="D5" s="14"/>
      <c r="E5" s="14" t="s">
        <v>6</v>
      </c>
      <c r="F5" s="14"/>
      <c r="G5" s="14"/>
      <c r="H5" s="14"/>
      <c r="I5" s="14"/>
      <c r="J5" s="14"/>
      <c r="K5" s="7"/>
      <c r="L5" s="15" t="n">
        <v>46286</v>
      </c>
      <c r="M5" s="15" t="n">
        <v>46315</v>
      </c>
      <c r="N5" s="16"/>
    </row>
    <row r="6" customFormat="false" ht="7.5" hidden="false" customHeight="true" outlineLevel="0" collapsed="false">
      <c r="A6" s="17"/>
      <c r="B6" s="17"/>
      <c r="C6" s="17"/>
      <c r="D6" s="17"/>
      <c r="E6" s="18"/>
      <c r="F6" s="18"/>
      <c r="G6" s="18"/>
      <c r="H6" s="18"/>
      <c r="I6" s="18"/>
      <c r="J6" s="18"/>
      <c r="K6" s="7"/>
      <c r="L6" s="19"/>
      <c r="M6" s="20"/>
      <c r="N6" s="4"/>
    </row>
    <row r="7" customFormat="false" ht="3.75" hidden="false" customHeight="true" outlineLevel="0" collapsed="false">
      <c r="A7" s="10"/>
      <c r="B7" s="21"/>
      <c r="C7" s="22"/>
      <c r="D7" s="23"/>
      <c r="E7" s="21"/>
      <c r="F7" s="22"/>
      <c r="G7" s="23"/>
      <c r="H7" s="10"/>
      <c r="I7" s="10"/>
      <c r="J7" s="10"/>
      <c r="K7" s="10"/>
      <c r="L7" s="10"/>
      <c r="M7" s="10"/>
      <c r="N7" s="4"/>
    </row>
    <row r="8" customFormat="false" ht="11.25" hidden="false" customHeight="true" outlineLevel="0" collapsed="false">
      <c r="A8" s="24" t="s">
        <v>7</v>
      </c>
      <c r="B8" s="25" t="s">
        <v>8</v>
      </c>
      <c r="C8" s="25"/>
      <c r="D8" s="25"/>
      <c r="E8" s="26" t="s">
        <v>9</v>
      </c>
      <c r="F8" s="26"/>
      <c r="G8" s="26"/>
      <c r="H8" s="27" t="s">
        <v>10</v>
      </c>
      <c r="I8" s="25" t="s">
        <v>11</v>
      </c>
      <c r="J8" s="25" t="s">
        <v>11</v>
      </c>
      <c r="K8" s="24" t="s">
        <v>12</v>
      </c>
      <c r="L8" s="24"/>
      <c r="M8" s="24"/>
      <c r="N8" s="16"/>
    </row>
    <row r="9" s="30" customFormat="true" ht="11.25" hidden="false" customHeight="true" outlineLevel="0" collapsed="false">
      <c r="A9" s="24"/>
      <c r="B9" s="26" t="s">
        <v>13</v>
      </c>
      <c r="C9" s="28" t="s">
        <v>14</v>
      </c>
      <c r="D9" s="29" t="s">
        <v>15</v>
      </c>
      <c r="E9" s="26" t="s">
        <v>13</v>
      </c>
      <c r="F9" s="28" t="s">
        <v>14</v>
      </c>
      <c r="G9" s="28" t="s">
        <v>15</v>
      </c>
      <c r="H9" s="27"/>
      <c r="I9" s="25" t="s">
        <v>16</v>
      </c>
      <c r="J9" s="25" t="s">
        <v>17</v>
      </c>
      <c r="K9" s="24"/>
      <c r="L9" s="24"/>
      <c r="M9" s="24"/>
      <c r="N9" s="1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</row>
    <row r="10" customFormat="false" ht="16.5" hidden="false" customHeight="true" outlineLevel="0" collapsed="false">
      <c r="A10" s="31" t="n">
        <v>46286</v>
      </c>
      <c r="B10" s="32" t="n">
        <v>20.3333333333333</v>
      </c>
      <c r="C10" s="32" t="s">
        <v>14</v>
      </c>
      <c r="D10" s="32" t="n">
        <v>20.7083333333333</v>
      </c>
      <c r="E10" s="32" t="n">
        <v>20</v>
      </c>
      <c r="F10" s="32" t="s">
        <v>14</v>
      </c>
      <c r="G10" s="32" t="n">
        <v>20</v>
      </c>
      <c r="H10" s="32" t="n">
        <v>0.0416666666666667</v>
      </c>
      <c r="I10" s="32" t="n">
        <f aca="false">D10-B10-H10</f>
        <v>0.333333333333333</v>
      </c>
      <c r="J10" s="32" t="n">
        <v>0</v>
      </c>
      <c r="K10" s="33" t="s">
        <v>18</v>
      </c>
      <c r="L10" s="33"/>
      <c r="M10" s="33"/>
      <c r="N10" s="34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</row>
    <row r="11" s="35" customFormat="true" ht="18" hidden="false" customHeight="true" outlineLevel="0" collapsed="false">
      <c r="A11" s="31" t="n">
        <v>46287</v>
      </c>
      <c r="B11" s="32" t="n">
        <v>20.3333333333333</v>
      </c>
      <c r="C11" s="32" t="s">
        <v>14</v>
      </c>
      <c r="D11" s="32" t="n">
        <v>20.7083333333333</v>
      </c>
      <c r="E11" s="32" t="n">
        <v>20</v>
      </c>
      <c r="F11" s="32" t="s">
        <v>14</v>
      </c>
      <c r="G11" s="32" t="n">
        <v>20</v>
      </c>
      <c r="H11" s="32" t="n">
        <v>0.0416666666666667</v>
      </c>
      <c r="I11" s="32" t="n">
        <f aca="false">D11-B11-H11</f>
        <v>0.333333333333333</v>
      </c>
      <c r="J11" s="32" t="n">
        <v>0</v>
      </c>
      <c r="K11" s="33" t="s">
        <v>18</v>
      </c>
      <c r="L11" s="33"/>
      <c r="M11" s="33"/>
      <c r="N11" s="3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</row>
    <row r="12" s="36" customFormat="true" ht="18" hidden="false" customHeight="true" outlineLevel="0" collapsed="false">
      <c r="A12" s="31" t="n">
        <v>46288</v>
      </c>
      <c r="B12" s="32" t="n">
        <v>20.3333333333333</v>
      </c>
      <c r="C12" s="32" t="s">
        <v>14</v>
      </c>
      <c r="D12" s="32" t="n">
        <v>20.7083333333333</v>
      </c>
      <c r="E12" s="32" t="n">
        <v>20</v>
      </c>
      <c r="F12" s="32" t="s">
        <v>14</v>
      </c>
      <c r="G12" s="32" t="n">
        <v>20</v>
      </c>
      <c r="H12" s="32" t="n">
        <v>0.0416666666666667</v>
      </c>
      <c r="I12" s="32" t="n">
        <f aca="false">D12-B12-H12</f>
        <v>0.333333333333333</v>
      </c>
      <c r="J12" s="32" t="n">
        <v>0</v>
      </c>
      <c r="K12" s="33" t="s">
        <v>18</v>
      </c>
      <c r="L12" s="33"/>
      <c r="M12" s="33"/>
      <c r="N12" s="3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</row>
    <row r="13" s="37" customFormat="true" ht="18" hidden="false" customHeight="true" outlineLevel="0" collapsed="false">
      <c r="A13" s="31" t="n">
        <v>46289</v>
      </c>
      <c r="B13" s="32" t="n">
        <v>20.3333333333333</v>
      </c>
      <c r="C13" s="32" t="s">
        <v>14</v>
      </c>
      <c r="D13" s="32" t="n">
        <v>20.7083333333333</v>
      </c>
      <c r="E13" s="32" t="n">
        <v>20</v>
      </c>
      <c r="F13" s="32" t="s">
        <v>14</v>
      </c>
      <c r="G13" s="32" t="n">
        <v>20</v>
      </c>
      <c r="H13" s="32" t="n">
        <v>0.0416666666666667</v>
      </c>
      <c r="I13" s="32" t="n">
        <f aca="false">D13-B13-H13</f>
        <v>0.333333333333333</v>
      </c>
      <c r="J13" s="32" t="n">
        <v>0</v>
      </c>
      <c r="K13" s="33" t="s">
        <v>18</v>
      </c>
      <c r="L13" s="33"/>
      <c r="M13" s="33"/>
      <c r="N13" s="34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</row>
    <row r="14" s="37" customFormat="true" ht="18" hidden="false" customHeight="true" outlineLevel="0" collapsed="false">
      <c r="A14" s="31" t="n">
        <v>46290</v>
      </c>
      <c r="B14" s="32" t="n">
        <v>20.3333333333333</v>
      </c>
      <c r="C14" s="32" t="s">
        <v>14</v>
      </c>
      <c r="D14" s="32" t="n">
        <v>20.7083333333333</v>
      </c>
      <c r="E14" s="32" t="n">
        <v>20</v>
      </c>
      <c r="F14" s="32" t="s">
        <v>14</v>
      </c>
      <c r="G14" s="32" t="n">
        <v>20</v>
      </c>
      <c r="H14" s="32" t="n">
        <v>0.0416666666666667</v>
      </c>
      <c r="I14" s="32" t="n">
        <f aca="false">D14-B14-H14</f>
        <v>0.333333333333333</v>
      </c>
      <c r="J14" s="32" t="n">
        <v>0</v>
      </c>
      <c r="K14" s="33" t="s">
        <v>18</v>
      </c>
      <c r="L14" s="33"/>
      <c r="M14" s="33"/>
      <c r="N14" s="34"/>
    </row>
    <row r="15" s="30" customFormat="true" ht="16.5" hidden="false" customHeight="true" outlineLevel="0" collapsed="false">
      <c r="A15" s="31" t="n">
        <v>46291</v>
      </c>
      <c r="B15" s="32" t="n">
        <v>20.3333333333333</v>
      </c>
      <c r="C15" s="32" t="s">
        <v>14</v>
      </c>
      <c r="D15" s="32" t="n">
        <v>20.7083333333333</v>
      </c>
      <c r="E15" s="32" t="n">
        <v>20</v>
      </c>
      <c r="F15" s="32" t="s">
        <v>14</v>
      </c>
      <c r="G15" s="32" t="n">
        <v>20</v>
      </c>
      <c r="H15" s="32" t="n">
        <v>0.0416666666666667</v>
      </c>
      <c r="I15" s="32" t="n">
        <f aca="false">D15-B15-H15</f>
        <v>0.333333333333333</v>
      </c>
      <c r="J15" s="32" t="n">
        <v>0</v>
      </c>
      <c r="K15" s="33" t="str">
        <f aca="false">IF(OR(TEXT(A15, "DDDD")="Saturday", TEXT(A15, "DDDD")="Sunday"), "Weekend", "")</f>
        <v>Weekend</v>
      </c>
      <c r="L15" s="33"/>
      <c r="M15" s="33"/>
      <c r="N15" s="34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</row>
    <row r="16" s="30" customFormat="true" ht="15" hidden="false" customHeight="true" outlineLevel="0" collapsed="false">
      <c r="A16" s="31" t="n">
        <v>46292</v>
      </c>
      <c r="B16" s="32" t="n">
        <v>20.3333333333333</v>
      </c>
      <c r="C16" s="32" t="s">
        <v>14</v>
      </c>
      <c r="D16" s="32" t="n">
        <v>20.7083333333333</v>
      </c>
      <c r="E16" s="32" t="n">
        <v>20</v>
      </c>
      <c r="F16" s="32" t="s">
        <v>14</v>
      </c>
      <c r="G16" s="32" t="n">
        <v>20</v>
      </c>
      <c r="H16" s="32" t="n">
        <v>0.0416666666666667</v>
      </c>
      <c r="I16" s="32" t="n">
        <f aca="false">D16-B16-H16</f>
        <v>0.333333333333333</v>
      </c>
      <c r="J16" s="32" t="n">
        <v>0</v>
      </c>
      <c r="K16" s="33" t="str">
        <f aca="false">IF(OR(TEXT(A16, "DDDD")="Saturday", TEXT(A16, "DDDD")="Sunday"), "Weekend", "")</f>
        <v>Weekend</v>
      </c>
      <c r="L16" s="33"/>
      <c r="M16" s="33"/>
      <c r="N16" s="34"/>
    </row>
    <row r="17" s="36" customFormat="true" ht="15" hidden="false" customHeight="true" outlineLevel="0" collapsed="false">
      <c r="A17" s="38" t="n">
        <v>46293</v>
      </c>
      <c r="B17" s="39" t="n">
        <v>20.3333333333333</v>
      </c>
      <c r="C17" s="39" t="s">
        <v>14</v>
      </c>
      <c r="D17" s="39" t="n">
        <v>20.7083333333333</v>
      </c>
      <c r="E17" s="39" t="n">
        <v>20</v>
      </c>
      <c r="F17" s="39" t="s">
        <v>14</v>
      </c>
      <c r="G17" s="39" t="n">
        <v>20</v>
      </c>
      <c r="H17" s="39" t="n">
        <v>0.0416666666666667</v>
      </c>
      <c r="I17" s="39" t="n">
        <f aca="false">D17-B17-H17</f>
        <v>0.333333333333333</v>
      </c>
      <c r="J17" s="39" t="n">
        <v>0</v>
      </c>
      <c r="K17" s="40" t="s">
        <v>19</v>
      </c>
      <c r="L17" s="40"/>
      <c r="M17" s="40"/>
      <c r="N17" s="34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</row>
    <row r="18" s="30" customFormat="true" ht="18" hidden="false" customHeight="true" outlineLevel="0" collapsed="false">
      <c r="A18" s="38" t="n">
        <v>46294</v>
      </c>
      <c r="B18" s="39" t="n">
        <v>20.3333333333333</v>
      </c>
      <c r="C18" s="39" t="s">
        <v>14</v>
      </c>
      <c r="D18" s="39" t="n">
        <v>20.7083333333333</v>
      </c>
      <c r="E18" s="39" t="n">
        <v>20</v>
      </c>
      <c r="F18" s="39" t="s">
        <v>14</v>
      </c>
      <c r="G18" s="39" t="n">
        <v>20</v>
      </c>
      <c r="H18" s="39" t="n">
        <v>0.0416666666666667</v>
      </c>
      <c r="I18" s="39" t="n">
        <f aca="false">D18-B18-H18</f>
        <v>0.333333333333333</v>
      </c>
      <c r="J18" s="39" t="n">
        <v>0</v>
      </c>
      <c r="K18" s="40" t="s">
        <v>19</v>
      </c>
      <c r="L18" s="40"/>
      <c r="M18" s="40"/>
      <c r="N18" s="34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</row>
    <row r="19" s="36" customFormat="true" ht="18" hidden="false" customHeight="true" outlineLevel="0" collapsed="false">
      <c r="A19" s="38" t="n">
        <v>46295</v>
      </c>
      <c r="B19" s="39" t="n">
        <v>20.3333333333333</v>
      </c>
      <c r="C19" s="39" t="s">
        <v>14</v>
      </c>
      <c r="D19" s="39" t="n">
        <v>20.7083333333333</v>
      </c>
      <c r="E19" s="39" t="n">
        <v>20</v>
      </c>
      <c r="F19" s="39" t="s">
        <v>14</v>
      </c>
      <c r="G19" s="39" t="n">
        <v>20</v>
      </c>
      <c r="H19" s="39" t="n">
        <v>0.0416666666666667</v>
      </c>
      <c r="I19" s="39" t="n">
        <f aca="false">D19-B19-H19</f>
        <v>0.333333333333333</v>
      </c>
      <c r="J19" s="39" t="n">
        <v>0</v>
      </c>
      <c r="K19" s="40" t="s">
        <v>19</v>
      </c>
      <c r="L19" s="40"/>
      <c r="M19" s="40"/>
      <c r="N19" s="34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</row>
    <row r="20" s="37" customFormat="true" ht="18" hidden="false" customHeight="true" outlineLevel="0" collapsed="false">
      <c r="A20" s="38" t="n">
        <v>46296</v>
      </c>
      <c r="B20" s="39" t="n">
        <v>20.3333333333333</v>
      </c>
      <c r="C20" s="39" t="s">
        <v>14</v>
      </c>
      <c r="D20" s="39" t="n">
        <v>20.7083333333333</v>
      </c>
      <c r="E20" s="39" t="n">
        <v>20</v>
      </c>
      <c r="F20" s="39" t="s">
        <v>14</v>
      </c>
      <c r="G20" s="39" t="n">
        <v>20</v>
      </c>
      <c r="H20" s="39" t="n">
        <v>0.0416666666666667</v>
      </c>
      <c r="I20" s="39" t="n">
        <f aca="false">D20-B20-H20</f>
        <v>0.333333333333333</v>
      </c>
      <c r="J20" s="39" t="n">
        <v>0</v>
      </c>
      <c r="K20" s="40" t="s">
        <v>19</v>
      </c>
      <c r="L20" s="40"/>
      <c r="M20" s="40"/>
      <c r="N20" s="34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</row>
    <row r="21" s="37" customFormat="true" ht="18" hidden="false" customHeight="true" outlineLevel="0" collapsed="false">
      <c r="A21" s="38" t="n">
        <v>46297</v>
      </c>
      <c r="B21" s="39" t="n">
        <v>20.3333333333333</v>
      </c>
      <c r="C21" s="39" t="s">
        <v>14</v>
      </c>
      <c r="D21" s="39" t="n">
        <v>20.7083333333333</v>
      </c>
      <c r="E21" s="39" t="n">
        <v>20</v>
      </c>
      <c r="F21" s="39" t="s">
        <v>14</v>
      </c>
      <c r="G21" s="39" t="n">
        <v>20</v>
      </c>
      <c r="H21" s="39" t="n">
        <v>0.0416666666666667</v>
      </c>
      <c r="I21" s="39" t="n">
        <f aca="false">D21-B21-H21</f>
        <v>0.333333333333333</v>
      </c>
      <c r="J21" s="39" t="n">
        <v>0</v>
      </c>
      <c r="K21" s="40" t="s">
        <v>19</v>
      </c>
      <c r="L21" s="40"/>
      <c r="M21" s="40"/>
      <c r="N21" s="34"/>
    </row>
    <row r="22" s="30" customFormat="true" ht="17.25" hidden="false" customHeight="true" outlineLevel="0" collapsed="false">
      <c r="A22" s="31" t="n">
        <v>46298</v>
      </c>
      <c r="B22" s="32" t="n">
        <v>20.3333333333333</v>
      </c>
      <c r="C22" s="32" t="s">
        <v>14</v>
      </c>
      <c r="D22" s="32" t="n">
        <v>20.7083333333333</v>
      </c>
      <c r="E22" s="32" t="n">
        <v>20</v>
      </c>
      <c r="F22" s="32" t="s">
        <v>14</v>
      </c>
      <c r="G22" s="32" t="n">
        <v>20</v>
      </c>
      <c r="H22" s="32" t="n">
        <v>0.0416666666666667</v>
      </c>
      <c r="I22" s="32" t="n">
        <f aca="false">D22-B22-H22</f>
        <v>0.333333333333333</v>
      </c>
      <c r="J22" s="32" t="n">
        <v>0</v>
      </c>
      <c r="K22" s="33" t="str">
        <f aca="false">IF(OR(TEXT(A22, "DDDD")="Saturday", TEXT(A22, "DDDD")="Sunday"), "Weekend", "")</f>
        <v>Weekend</v>
      </c>
      <c r="L22" s="33"/>
      <c r="M22" s="33"/>
      <c r="N22" s="34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</row>
    <row r="23" s="30" customFormat="true" ht="18" hidden="false" customHeight="true" outlineLevel="0" collapsed="false">
      <c r="A23" s="31" t="n">
        <v>46299</v>
      </c>
      <c r="B23" s="32" t="n">
        <v>20.3333333333333</v>
      </c>
      <c r="C23" s="32" t="s">
        <v>14</v>
      </c>
      <c r="D23" s="32" t="n">
        <v>20.7083333333333</v>
      </c>
      <c r="E23" s="32" t="n">
        <v>20</v>
      </c>
      <c r="F23" s="32" t="s">
        <v>14</v>
      </c>
      <c r="G23" s="32" t="n">
        <v>20</v>
      </c>
      <c r="H23" s="32" t="n">
        <v>0.0416666666666667</v>
      </c>
      <c r="I23" s="32" t="n">
        <f aca="false">D23-B23-H23</f>
        <v>0.333333333333333</v>
      </c>
      <c r="J23" s="32" t="n">
        <v>0</v>
      </c>
      <c r="K23" s="33" t="str">
        <f aca="false">IF(OR(TEXT(A23, "DDDD")="Saturday", TEXT(A23, "DDDD")="Sunday"), "Weekend", "")</f>
        <v>Weekend</v>
      </c>
      <c r="L23" s="33"/>
      <c r="M23" s="33"/>
      <c r="N23" s="34"/>
    </row>
    <row r="24" s="36" customFormat="true" ht="18" hidden="false" customHeight="true" outlineLevel="0" collapsed="false">
      <c r="A24" s="38" t="n">
        <v>46300</v>
      </c>
      <c r="B24" s="39" t="n">
        <v>20.3333333333333</v>
      </c>
      <c r="C24" s="39" t="s">
        <v>14</v>
      </c>
      <c r="D24" s="39" t="n">
        <v>20.7083333333333</v>
      </c>
      <c r="E24" s="39" t="n">
        <v>20</v>
      </c>
      <c r="F24" s="39" t="s">
        <v>14</v>
      </c>
      <c r="G24" s="39" t="n">
        <v>20</v>
      </c>
      <c r="H24" s="39" t="n">
        <v>0.0416666666666667</v>
      </c>
      <c r="I24" s="39" t="n">
        <f aca="false">D24-B24-H24</f>
        <v>0.333333333333333</v>
      </c>
      <c r="J24" s="39" t="n">
        <v>0</v>
      </c>
      <c r="K24" s="40" t="s">
        <v>19</v>
      </c>
      <c r="L24" s="40"/>
      <c r="M24" s="40"/>
      <c r="N24" s="34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</row>
    <row r="25" s="30" customFormat="true" ht="16.5" hidden="false" customHeight="true" outlineLevel="0" collapsed="false">
      <c r="A25" s="38" t="n">
        <v>46301</v>
      </c>
      <c r="B25" s="39" t="n">
        <v>20.3333333333333</v>
      </c>
      <c r="C25" s="39" t="s">
        <v>14</v>
      </c>
      <c r="D25" s="39" t="n">
        <v>20.7083333333333</v>
      </c>
      <c r="E25" s="39" t="n">
        <v>20</v>
      </c>
      <c r="F25" s="39" t="s">
        <v>14</v>
      </c>
      <c r="G25" s="39" t="n">
        <v>20</v>
      </c>
      <c r="H25" s="39" t="n">
        <v>0.0416666666666667</v>
      </c>
      <c r="I25" s="39" t="n">
        <f aca="false">D25-B25-H25</f>
        <v>0.333333333333333</v>
      </c>
      <c r="J25" s="39" t="n">
        <v>0</v>
      </c>
      <c r="K25" s="40" t="s">
        <v>19</v>
      </c>
      <c r="L25" s="40"/>
      <c r="M25" s="40"/>
      <c r="N25" s="34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</row>
    <row r="26" s="36" customFormat="true" ht="17.25" hidden="false" customHeight="true" outlineLevel="0" collapsed="false">
      <c r="A26" s="38" t="n">
        <v>46302</v>
      </c>
      <c r="B26" s="39" t="n">
        <v>20.3333333333333</v>
      </c>
      <c r="C26" s="39" t="s">
        <v>14</v>
      </c>
      <c r="D26" s="39" t="n">
        <v>20.7083333333333</v>
      </c>
      <c r="E26" s="39" t="n">
        <v>20</v>
      </c>
      <c r="F26" s="39" t="s">
        <v>14</v>
      </c>
      <c r="G26" s="39" t="n">
        <v>20</v>
      </c>
      <c r="H26" s="39" t="n">
        <v>0.0416666666666667</v>
      </c>
      <c r="I26" s="39" t="n">
        <f aca="false">D26-B26-H26</f>
        <v>0.333333333333333</v>
      </c>
      <c r="J26" s="39" t="n">
        <v>0</v>
      </c>
      <c r="K26" s="40" t="s">
        <v>19</v>
      </c>
      <c r="L26" s="40"/>
      <c r="M26" s="40"/>
      <c r="N26" s="34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</row>
    <row r="27" s="37" customFormat="true" ht="18" hidden="false" customHeight="true" outlineLevel="0" collapsed="false">
      <c r="A27" s="38" t="n">
        <v>46303</v>
      </c>
      <c r="B27" s="39" t="n">
        <v>20.3333333333333</v>
      </c>
      <c r="C27" s="39" t="s">
        <v>14</v>
      </c>
      <c r="D27" s="39" t="n">
        <v>20.7083333333333</v>
      </c>
      <c r="E27" s="39" t="n">
        <v>20</v>
      </c>
      <c r="F27" s="39" t="s">
        <v>14</v>
      </c>
      <c r="G27" s="39" t="n">
        <v>20</v>
      </c>
      <c r="H27" s="39" t="n">
        <v>0.0416666666666667</v>
      </c>
      <c r="I27" s="39" t="n">
        <f aca="false">D27-B27-H27</f>
        <v>0.333333333333333</v>
      </c>
      <c r="J27" s="39" t="n">
        <v>0</v>
      </c>
      <c r="K27" s="40" t="s">
        <v>19</v>
      </c>
      <c r="L27" s="40"/>
      <c r="M27" s="40"/>
      <c r="N27" s="34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</row>
    <row r="28" s="37" customFormat="true" ht="18" hidden="false" customHeight="true" outlineLevel="0" collapsed="false">
      <c r="A28" s="38" t="n">
        <v>46304</v>
      </c>
      <c r="B28" s="39" t="n">
        <v>20.3333333333333</v>
      </c>
      <c r="C28" s="39" t="s">
        <v>14</v>
      </c>
      <c r="D28" s="39" t="n">
        <v>20.7083333333333</v>
      </c>
      <c r="E28" s="39" t="n">
        <v>20</v>
      </c>
      <c r="F28" s="39" t="s">
        <v>14</v>
      </c>
      <c r="G28" s="39" t="n">
        <v>20</v>
      </c>
      <c r="H28" s="39" t="n">
        <v>0.0416666666666667</v>
      </c>
      <c r="I28" s="39" t="n">
        <f aca="false">D28-B28-H28</f>
        <v>0.333333333333333</v>
      </c>
      <c r="J28" s="39" t="n">
        <v>0</v>
      </c>
      <c r="K28" s="40" t="s">
        <v>19</v>
      </c>
      <c r="L28" s="40"/>
      <c r="M28" s="40"/>
      <c r="N28" s="34"/>
    </row>
    <row r="29" s="30" customFormat="true" ht="16.5" hidden="false" customHeight="true" outlineLevel="0" collapsed="false">
      <c r="A29" s="31" t="n">
        <v>46305</v>
      </c>
      <c r="B29" s="32" t="n">
        <v>20.3333333333333</v>
      </c>
      <c r="C29" s="32" t="s">
        <v>14</v>
      </c>
      <c r="D29" s="32" t="n">
        <v>20.7083333333333</v>
      </c>
      <c r="E29" s="32" t="n">
        <v>20</v>
      </c>
      <c r="F29" s="32" t="s">
        <v>14</v>
      </c>
      <c r="G29" s="32" t="n">
        <v>20</v>
      </c>
      <c r="H29" s="32" t="n">
        <v>0.0416666666666667</v>
      </c>
      <c r="I29" s="32" t="n">
        <f aca="false">D29-B29-H29</f>
        <v>0.333333333333333</v>
      </c>
      <c r="J29" s="32" t="n">
        <v>0</v>
      </c>
      <c r="K29" s="33" t="str">
        <f aca="false">IF(OR(TEXT(A29, "DDDD")="Saturday", TEXT(A29, "DDDD")="Sunday"), "Weekend", "")</f>
        <v>Weekend</v>
      </c>
      <c r="L29" s="33"/>
      <c r="M29" s="33"/>
      <c r="N29" s="34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</row>
    <row r="30" s="30" customFormat="true" ht="15" hidden="false" customHeight="true" outlineLevel="0" collapsed="false">
      <c r="A30" s="31" t="n">
        <v>46306</v>
      </c>
      <c r="B30" s="32" t="n">
        <v>20.3333333333333</v>
      </c>
      <c r="C30" s="32" t="s">
        <v>14</v>
      </c>
      <c r="D30" s="32" t="n">
        <v>20.7083333333333</v>
      </c>
      <c r="E30" s="32" t="n">
        <v>20</v>
      </c>
      <c r="F30" s="32" t="s">
        <v>14</v>
      </c>
      <c r="G30" s="32" t="n">
        <v>20</v>
      </c>
      <c r="H30" s="32" t="n">
        <v>0.0416666666666667</v>
      </c>
      <c r="I30" s="32" t="n">
        <f aca="false">D30-B30-H30</f>
        <v>0.333333333333333</v>
      </c>
      <c r="J30" s="32" t="n">
        <v>0</v>
      </c>
      <c r="K30" s="33" t="str">
        <f aca="false">IF(OR(TEXT(A30, "DDDD")="Saturday", TEXT(A30, "DDDD")="Sunday"), "Weekend", "")</f>
        <v>Weekend</v>
      </c>
      <c r="L30" s="33"/>
      <c r="M30" s="33"/>
      <c r="N30" s="34"/>
    </row>
    <row r="31" s="36" customFormat="true" ht="15" hidden="false" customHeight="true" outlineLevel="0" collapsed="false">
      <c r="A31" s="38" t="n">
        <v>46307</v>
      </c>
      <c r="B31" s="39" t="n">
        <v>20.3333333333333</v>
      </c>
      <c r="C31" s="39" t="s">
        <v>14</v>
      </c>
      <c r="D31" s="39" t="n">
        <v>20.7083333333333</v>
      </c>
      <c r="E31" s="39" t="n">
        <v>20</v>
      </c>
      <c r="F31" s="39" t="s">
        <v>14</v>
      </c>
      <c r="G31" s="39" t="n">
        <v>20</v>
      </c>
      <c r="H31" s="39" t="n">
        <v>0.0416666666666667</v>
      </c>
      <c r="I31" s="39" t="n">
        <f aca="false">D31-B31-H31</f>
        <v>0.333333333333333</v>
      </c>
      <c r="J31" s="39" t="n">
        <v>0</v>
      </c>
      <c r="K31" s="40" t="s">
        <v>19</v>
      </c>
      <c r="L31" s="40"/>
      <c r="M31" s="40"/>
      <c r="N31" s="34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</row>
    <row r="32" s="30" customFormat="true" ht="16.5" hidden="false" customHeight="true" outlineLevel="0" collapsed="false">
      <c r="A32" s="38" t="n">
        <v>46308</v>
      </c>
      <c r="B32" s="39" t="n">
        <v>20.3333333333333</v>
      </c>
      <c r="C32" s="39" t="s">
        <v>14</v>
      </c>
      <c r="D32" s="39" t="n">
        <v>20.7083333333333</v>
      </c>
      <c r="E32" s="39" t="n">
        <v>20</v>
      </c>
      <c r="F32" s="39" t="s">
        <v>14</v>
      </c>
      <c r="G32" s="39" t="n">
        <v>20</v>
      </c>
      <c r="H32" s="39" t="n">
        <v>0.0416666666666667</v>
      </c>
      <c r="I32" s="39" t="n">
        <f aca="false">D32-B32-H32</f>
        <v>0.333333333333333</v>
      </c>
      <c r="J32" s="39" t="n">
        <v>0</v>
      </c>
      <c r="K32" s="40" t="s">
        <v>19</v>
      </c>
      <c r="L32" s="40"/>
      <c r="M32" s="40"/>
      <c r="N32" s="34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</row>
    <row r="33" s="37" customFormat="true" ht="18" hidden="false" customHeight="true" outlineLevel="0" collapsed="false">
      <c r="A33" s="38" t="n">
        <v>46309</v>
      </c>
      <c r="B33" s="39" t="n">
        <v>20.3333333333333</v>
      </c>
      <c r="C33" s="39" t="s">
        <v>14</v>
      </c>
      <c r="D33" s="39" t="n">
        <v>20.7083333333333</v>
      </c>
      <c r="E33" s="39" t="n">
        <v>20</v>
      </c>
      <c r="F33" s="39" t="s">
        <v>14</v>
      </c>
      <c r="G33" s="39" t="n">
        <v>20</v>
      </c>
      <c r="H33" s="39" t="n">
        <v>0.0416666666666667</v>
      </c>
      <c r="I33" s="39" t="n">
        <f aca="false">D33-B33-H33</f>
        <v>0.333333333333333</v>
      </c>
      <c r="J33" s="39" t="n">
        <v>0</v>
      </c>
      <c r="K33" s="40" t="s">
        <v>19</v>
      </c>
      <c r="L33" s="40"/>
      <c r="M33" s="40"/>
      <c r="N33" s="34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</row>
    <row r="34" s="37" customFormat="true" ht="16.5" hidden="false" customHeight="true" outlineLevel="0" collapsed="false">
      <c r="A34" s="38" t="n">
        <v>46310</v>
      </c>
      <c r="B34" s="39" t="n">
        <v>20.3333333333333</v>
      </c>
      <c r="C34" s="39" t="s">
        <v>14</v>
      </c>
      <c r="D34" s="39" t="n">
        <v>20.7083333333333</v>
      </c>
      <c r="E34" s="39" t="n">
        <v>20</v>
      </c>
      <c r="F34" s="39" t="s">
        <v>14</v>
      </c>
      <c r="G34" s="39" t="n">
        <v>20</v>
      </c>
      <c r="H34" s="39" t="n">
        <v>0.0416666666666667</v>
      </c>
      <c r="I34" s="39" t="n">
        <f aca="false">D34-B34-H34</f>
        <v>0.333333333333333</v>
      </c>
      <c r="J34" s="39" t="n">
        <v>0</v>
      </c>
      <c r="K34" s="40" t="s">
        <v>19</v>
      </c>
      <c r="L34" s="40"/>
      <c r="M34" s="40"/>
      <c r="N34" s="34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</row>
    <row r="35" s="30" customFormat="true" ht="17.25" hidden="false" customHeight="true" outlineLevel="0" collapsed="false">
      <c r="A35" s="38" t="n">
        <v>46311</v>
      </c>
      <c r="B35" s="39" t="n">
        <v>20.3333333333333</v>
      </c>
      <c r="C35" s="39" t="s">
        <v>14</v>
      </c>
      <c r="D35" s="39" t="n">
        <v>20.7083333333333</v>
      </c>
      <c r="E35" s="39" t="n">
        <v>20</v>
      </c>
      <c r="F35" s="39" t="s">
        <v>14</v>
      </c>
      <c r="G35" s="39" t="n">
        <v>20</v>
      </c>
      <c r="H35" s="39" t="n">
        <v>0.0416666666666667</v>
      </c>
      <c r="I35" s="39" t="n">
        <f aca="false">D35-B35-H35</f>
        <v>0.333333333333333</v>
      </c>
      <c r="J35" s="39" t="n">
        <v>0</v>
      </c>
      <c r="K35" s="40" t="s">
        <v>19</v>
      </c>
      <c r="L35" s="40"/>
      <c r="M35" s="40"/>
      <c r="N35" s="34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</row>
    <row r="36" s="30" customFormat="true" ht="16.5" hidden="false" customHeight="true" outlineLevel="0" collapsed="false">
      <c r="A36" s="31" t="n">
        <v>46312</v>
      </c>
      <c r="B36" s="32" t="n">
        <v>20.3333333333333</v>
      </c>
      <c r="C36" s="32" t="s">
        <v>14</v>
      </c>
      <c r="D36" s="32" t="n">
        <v>20.7083333333333</v>
      </c>
      <c r="E36" s="32" t="n">
        <v>20</v>
      </c>
      <c r="F36" s="32" t="s">
        <v>14</v>
      </c>
      <c r="G36" s="32" t="n">
        <v>20</v>
      </c>
      <c r="H36" s="32" t="n">
        <v>0.0416666666666667</v>
      </c>
      <c r="I36" s="32" t="n">
        <f aca="false">D36-B36-H36</f>
        <v>0.333333333333333</v>
      </c>
      <c r="J36" s="32" t="n">
        <v>0</v>
      </c>
      <c r="K36" s="33" t="str">
        <f aca="false">IF(OR(TEXT(A36, "DDDD")="Saturday", TEXT(A36, "DDDD")="Sunday"), "Weekend", "")</f>
        <v>Weekend</v>
      </c>
      <c r="L36" s="33"/>
      <c r="M36" s="33"/>
      <c r="N36" s="34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</row>
    <row r="37" s="30" customFormat="true" ht="15" hidden="false" customHeight="true" outlineLevel="0" collapsed="false">
      <c r="A37" s="31" t="n">
        <v>46313</v>
      </c>
      <c r="B37" s="32" t="n">
        <v>20.3333333333333</v>
      </c>
      <c r="C37" s="32" t="s">
        <v>14</v>
      </c>
      <c r="D37" s="32" t="n">
        <v>20.7083333333333</v>
      </c>
      <c r="E37" s="32" t="n">
        <v>20</v>
      </c>
      <c r="F37" s="32" t="s">
        <v>14</v>
      </c>
      <c r="G37" s="32" t="n">
        <v>20</v>
      </c>
      <c r="H37" s="32" t="n">
        <v>0.0416666666666667</v>
      </c>
      <c r="I37" s="32" t="n">
        <f aca="false">D37-B37-H37</f>
        <v>0.333333333333333</v>
      </c>
      <c r="J37" s="32" t="n">
        <v>0</v>
      </c>
      <c r="K37" s="33" t="str">
        <f aca="false">IF(OR(TEXT(A37, "DDDD")="Saturday", TEXT(A37, "DDDD")="Sunday"), "Weekend", "")</f>
        <v>Weekend</v>
      </c>
      <c r="L37" s="33"/>
      <c r="M37" s="33"/>
      <c r="N37" s="34"/>
    </row>
    <row r="38" s="30" customFormat="true" ht="15" hidden="false" customHeight="true" outlineLevel="0" collapsed="false">
      <c r="A38" s="38" t="n">
        <v>46314</v>
      </c>
      <c r="B38" s="39" t="n">
        <v>20.3333333333333</v>
      </c>
      <c r="C38" s="39" t="s">
        <v>14</v>
      </c>
      <c r="D38" s="39" t="n">
        <v>20.7083333333333</v>
      </c>
      <c r="E38" s="39" t="n">
        <v>20</v>
      </c>
      <c r="F38" s="39" t="s">
        <v>14</v>
      </c>
      <c r="G38" s="39" t="n">
        <v>20</v>
      </c>
      <c r="H38" s="39" t="n">
        <v>0.0416666666666667</v>
      </c>
      <c r="I38" s="39" t="n">
        <f aca="false">D38-B38-H38</f>
        <v>0.333333333333333</v>
      </c>
      <c r="J38" s="39" t="n">
        <v>0</v>
      </c>
      <c r="K38" s="40" t="s">
        <v>19</v>
      </c>
      <c r="L38" s="40"/>
      <c r="M38" s="40"/>
      <c r="N38" s="34"/>
    </row>
    <row r="39" s="30" customFormat="true" ht="15" hidden="false" customHeight="true" outlineLevel="0" collapsed="false">
      <c r="A39" s="38" t="n">
        <v>46315</v>
      </c>
      <c r="B39" s="39" t="n">
        <v>20.3333333333333</v>
      </c>
      <c r="C39" s="39" t="s">
        <v>14</v>
      </c>
      <c r="D39" s="39" t="n">
        <v>20.7083333333333</v>
      </c>
      <c r="E39" s="39" t="n">
        <v>20</v>
      </c>
      <c r="F39" s="39" t="s">
        <v>14</v>
      </c>
      <c r="G39" s="39" t="n">
        <v>20</v>
      </c>
      <c r="H39" s="39" t="n">
        <v>0.0416666666666667</v>
      </c>
      <c r="I39" s="39" t="n">
        <f aca="false">D39-B39-H39</f>
        <v>0.333333333333333</v>
      </c>
      <c r="J39" s="39" t="n">
        <v>0</v>
      </c>
      <c r="K39" s="40" t="s">
        <v>19</v>
      </c>
      <c r="L39" s="40"/>
      <c r="M39" s="40"/>
      <c r="N39" s="34"/>
    </row>
    <row r="40" s="30" customFormat="true" ht="15" hidden="false" customHeight="true" outlineLevel="0" collapsed="false">
      <c r="A40" s="38" t="n">
        <v>46316</v>
      </c>
      <c r="B40" s="39" t="n">
        <v>20.3333333333333</v>
      </c>
      <c r="C40" s="39" t="s">
        <v>14</v>
      </c>
      <c r="D40" s="39" t="n">
        <v>20.7083333333333</v>
      </c>
      <c r="E40" s="39" t="n">
        <v>20</v>
      </c>
      <c r="F40" s="39" t="s">
        <v>14</v>
      </c>
      <c r="G40" s="39" t="n">
        <v>20</v>
      </c>
      <c r="H40" s="39" t="n">
        <v>0.0416666666666667</v>
      </c>
      <c r="I40" s="39" t="n">
        <f aca="false">D40-B40-H40</f>
        <v>0.333333333333333</v>
      </c>
      <c r="J40" s="39" t="n">
        <v>0</v>
      </c>
      <c r="K40" s="40" t="s">
        <v>19</v>
      </c>
      <c r="L40" s="40"/>
      <c r="M40" s="40"/>
      <c r="N40" s="34"/>
    </row>
    <row r="41" customFormat="false" ht="12.75" hidden="false" customHeight="true" outlineLevel="0" collapsed="false">
      <c r="A41" s="41"/>
      <c r="B41" s="42"/>
      <c r="C41" s="43"/>
      <c r="D41" s="42"/>
      <c r="E41" s="42"/>
      <c r="F41" s="42"/>
      <c r="G41" s="42"/>
      <c r="H41" s="42"/>
      <c r="I41" s="43"/>
      <c r="J41" s="44"/>
      <c r="K41" s="45" t="s">
        <v>20</v>
      </c>
      <c r="L41" s="45"/>
      <c r="M41" s="45"/>
      <c r="N41" s="46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47"/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47"/>
      <c r="DN41" s="47"/>
      <c r="DO41" s="47"/>
      <c r="DP41" s="47"/>
      <c r="DQ41" s="47"/>
      <c r="DR41" s="47"/>
      <c r="DS41" s="47"/>
      <c r="DT41" s="47"/>
      <c r="DU41" s="47"/>
      <c r="DV41" s="47"/>
      <c r="DW41" s="47"/>
      <c r="DX41" s="47"/>
      <c r="DY41" s="47"/>
      <c r="DZ41" s="47"/>
      <c r="EA41" s="47"/>
      <c r="EB41" s="47"/>
      <c r="EC41" s="47"/>
      <c r="ED41" s="47"/>
      <c r="EE41" s="47"/>
      <c r="EF41" s="47"/>
      <c r="EG41" s="47"/>
      <c r="EH41" s="47"/>
      <c r="EI41" s="47"/>
      <c r="EJ41" s="47"/>
      <c r="EK41" s="47"/>
      <c r="EL41" s="47"/>
      <c r="EM41" s="47"/>
      <c r="EN41" s="47"/>
      <c r="EO41" s="47"/>
      <c r="EP41" s="47"/>
      <c r="EQ41" s="47"/>
      <c r="ER41" s="47"/>
      <c r="ES41" s="47"/>
      <c r="ET41" s="47"/>
      <c r="EU41" s="47"/>
      <c r="EV41" s="47"/>
      <c r="EW41" s="47"/>
      <c r="EX41" s="47"/>
      <c r="EY41" s="47"/>
      <c r="EZ41" s="47"/>
      <c r="FA41" s="47"/>
      <c r="FB41" s="47"/>
      <c r="FC41" s="47"/>
      <c r="FD41" s="47"/>
      <c r="FE41" s="47"/>
      <c r="FF41" s="47"/>
      <c r="FG41" s="47"/>
      <c r="FH41" s="47"/>
      <c r="FI41" s="47"/>
      <c r="FJ41" s="47"/>
      <c r="FK41" s="47"/>
      <c r="FL41" s="47"/>
      <c r="FM41" s="47"/>
      <c r="FN41" s="47"/>
      <c r="FO41" s="47"/>
      <c r="FP41" s="47"/>
      <c r="FQ41" s="47"/>
      <c r="FR41" s="47"/>
      <c r="FS41" s="47"/>
      <c r="FT41" s="47"/>
      <c r="FU41" s="47"/>
      <c r="FV41" s="47"/>
      <c r="FW41" s="47"/>
      <c r="FX41" s="47"/>
      <c r="FY41" s="47"/>
      <c r="FZ41" s="47"/>
      <c r="GA41" s="47"/>
      <c r="GB41" s="47"/>
      <c r="GC41" s="47"/>
      <c r="GD41" s="47"/>
      <c r="GE41" s="47"/>
      <c r="GF41" s="47"/>
      <c r="GG41" s="47"/>
      <c r="GH41" s="47"/>
      <c r="GI41" s="47"/>
      <c r="GJ41" s="47"/>
      <c r="GK41" s="47"/>
      <c r="GL41" s="47"/>
      <c r="GM41" s="47"/>
      <c r="GN41" s="47"/>
      <c r="GO41" s="47"/>
      <c r="GP41" s="47"/>
      <c r="GQ41" s="47"/>
      <c r="GR41" s="47"/>
      <c r="GS41" s="47"/>
      <c r="GT41" s="47"/>
      <c r="GU41" s="47"/>
      <c r="GV41" s="47"/>
      <c r="GW41" s="47"/>
      <c r="GX41" s="47"/>
      <c r="GY41" s="47"/>
      <c r="GZ41" s="47"/>
      <c r="HA41" s="47"/>
      <c r="HB41" s="47"/>
      <c r="HC41" s="47"/>
      <c r="HD41" s="47"/>
      <c r="HE41" s="47"/>
      <c r="HF41" s="47"/>
      <c r="HG41" s="47"/>
      <c r="HH41" s="47"/>
      <c r="HI41" s="47"/>
      <c r="HJ41" s="47"/>
      <c r="HK41" s="47"/>
      <c r="HL41" s="47"/>
      <c r="HM41" s="47"/>
      <c r="HN41" s="47"/>
      <c r="HO41" s="47"/>
      <c r="HP41" s="47"/>
      <c r="HQ41" s="47"/>
      <c r="HR41" s="47"/>
      <c r="HS41" s="47"/>
      <c r="HT41" s="47"/>
      <c r="HU41" s="47"/>
      <c r="HV41" s="47"/>
      <c r="HW41" s="47"/>
      <c r="HX41" s="47"/>
      <c r="HY41" s="47"/>
      <c r="HZ41" s="47"/>
      <c r="IA41" s="47"/>
      <c r="IB41" s="47"/>
      <c r="IC41" s="47"/>
      <c r="ID41" s="47"/>
      <c r="IE41" s="47"/>
      <c r="IF41" s="47"/>
      <c r="IG41" s="47"/>
      <c r="IH41" s="47"/>
      <c r="II41" s="47"/>
      <c r="IJ41" s="47"/>
    </row>
    <row r="42" customFormat="false" ht="10.5" hidden="false" customHeight="true" outlineLevel="0" collapsed="false">
      <c r="A42" s="48" t="s">
        <v>21</v>
      </c>
      <c r="B42" s="48"/>
      <c r="C42" s="48"/>
      <c r="D42" s="48"/>
      <c r="E42" s="48"/>
      <c r="F42" s="48"/>
      <c r="G42" s="48"/>
      <c r="H42" s="49"/>
      <c r="I42" s="50" t="n">
        <f aca="false">SUM(I10:I37)</f>
        <v>9.33333333333333</v>
      </c>
      <c r="J42" s="51" t="n">
        <f aca="false">SUM(J10:J41)</f>
        <v>0</v>
      </c>
      <c r="K42" s="52" t="s">
        <v>22</v>
      </c>
      <c r="L42" s="52"/>
      <c r="M42" s="52"/>
      <c r="N42" s="53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47"/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47"/>
      <c r="GZ42" s="47"/>
      <c r="HA42" s="47"/>
      <c r="HB42" s="47"/>
      <c r="HC42" s="47"/>
      <c r="HD42" s="47"/>
      <c r="HE42" s="47"/>
      <c r="HF42" s="47"/>
      <c r="HG42" s="47"/>
      <c r="HH42" s="47"/>
      <c r="HI42" s="47"/>
      <c r="HJ42" s="47"/>
      <c r="HK42" s="47"/>
      <c r="HL42" s="47"/>
      <c r="HM42" s="47"/>
      <c r="HN42" s="47"/>
      <c r="HO42" s="47"/>
      <c r="HP42" s="47"/>
      <c r="HQ42" s="47"/>
      <c r="HR42" s="47"/>
      <c r="HS42" s="47"/>
      <c r="HT42" s="47"/>
      <c r="HU42" s="47"/>
      <c r="HV42" s="47"/>
      <c r="HW42" s="47"/>
      <c r="HX42" s="47"/>
      <c r="HY42" s="47"/>
      <c r="HZ42" s="47"/>
      <c r="IA42" s="47"/>
      <c r="IB42" s="47"/>
      <c r="IC42" s="47"/>
      <c r="ID42" s="47"/>
      <c r="IE42" s="47"/>
      <c r="IF42" s="47"/>
      <c r="IG42" s="47"/>
      <c r="IH42" s="47"/>
      <c r="II42" s="47"/>
      <c r="IJ42" s="47"/>
    </row>
    <row r="43" customFormat="false" ht="12.75" hidden="false" customHeight="true" outlineLevel="0" collapsed="false">
      <c r="A43" s="48"/>
      <c r="B43" s="48"/>
      <c r="C43" s="48"/>
      <c r="D43" s="48"/>
      <c r="E43" s="48"/>
      <c r="F43" s="48"/>
      <c r="G43" s="48"/>
      <c r="H43" s="54"/>
      <c r="I43" s="50"/>
      <c r="J43" s="51"/>
      <c r="K43" s="55" t="s">
        <v>23</v>
      </c>
      <c r="L43" s="56"/>
      <c r="M43" s="57" t="s">
        <v>24</v>
      </c>
      <c r="N43" s="53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CZ43" s="47"/>
      <c r="DA43" s="47"/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47"/>
      <c r="DN43" s="47"/>
      <c r="DO43" s="47"/>
      <c r="DP43" s="47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47"/>
      <c r="FG43" s="47"/>
      <c r="FH43" s="47"/>
      <c r="FI43" s="47"/>
      <c r="FJ43" s="47"/>
      <c r="FK43" s="47"/>
      <c r="FL43" s="47"/>
      <c r="FM43" s="47"/>
      <c r="FN43" s="47"/>
      <c r="FO43" s="47"/>
      <c r="FP43" s="47"/>
      <c r="FQ43" s="47"/>
      <c r="FR43" s="47"/>
      <c r="FS43" s="47"/>
      <c r="FT43" s="47"/>
      <c r="FU43" s="47"/>
      <c r="FV43" s="47"/>
      <c r="FW43" s="47"/>
      <c r="FX43" s="47"/>
      <c r="FY43" s="47"/>
      <c r="FZ43" s="47"/>
      <c r="GA43" s="47"/>
      <c r="GB43" s="47"/>
      <c r="GC43" s="47"/>
      <c r="GD43" s="47"/>
      <c r="GE43" s="47"/>
      <c r="GF43" s="47"/>
      <c r="GG43" s="47"/>
      <c r="GH43" s="47"/>
      <c r="GI43" s="47"/>
      <c r="GJ43" s="47"/>
      <c r="GK43" s="47"/>
      <c r="GL43" s="47"/>
      <c r="GM43" s="47"/>
      <c r="GN43" s="47"/>
      <c r="GO43" s="47"/>
      <c r="GP43" s="47"/>
      <c r="GQ43" s="47"/>
      <c r="GR43" s="47"/>
      <c r="GS43" s="47"/>
      <c r="GT43" s="47"/>
      <c r="GU43" s="47"/>
      <c r="GV43" s="47"/>
      <c r="GW43" s="47"/>
      <c r="GX43" s="47"/>
      <c r="GY43" s="47"/>
      <c r="GZ43" s="47"/>
      <c r="HA43" s="47"/>
      <c r="HB43" s="47"/>
      <c r="HC43" s="47"/>
      <c r="HD43" s="47"/>
      <c r="HE43" s="47"/>
      <c r="HF43" s="47"/>
      <c r="HG43" s="47"/>
      <c r="HH43" s="47"/>
      <c r="HI43" s="47"/>
      <c r="HJ43" s="47"/>
      <c r="HK43" s="47"/>
      <c r="HL43" s="47"/>
      <c r="HM43" s="47"/>
      <c r="HN43" s="47"/>
      <c r="HO43" s="47"/>
      <c r="HP43" s="47"/>
      <c r="HQ43" s="47"/>
      <c r="HR43" s="47"/>
      <c r="HS43" s="47"/>
      <c r="HT43" s="47"/>
      <c r="HU43" s="47"/>
      <c r="HV43" s="47"/>
      <c r="HW43" s="47"/>
      <c r="HX43" s="47"/>
      <c r="HY43" s="47"/>
      <c r="HZ43" s="47"/>
      <c r="IA43" s="47"/>
      <c r="IB43" s="47"/>
      <c r="IC43" s="47"/>
      <c r="ID43" s="47"/>
      <c r="IE43" s="47"/>
      <c r="IF43" s="47"/>
      <c r="IG43" s="47"/>
      <c r="IH43" s="47"/>
      <c r="II43" s="47"/>
      <c r="IJ43" s="47"/>
    </row>
    <row r="44" customFormat="false" ht="11.25" hidden="false" customHeight="true" outlineLevel="0" collapsed="false">
      <c r="A44" s="58" t="s">
        <v>25</v>
      </c>
      <c r="B44" s="59"/>
      <c r="C44" s="59"/>
      <c r="D44" s="59"/>
      <c r="E44" s="59"/>
      <c r="F44" s="59"/>
      <c r="G44" s="59"/>
      <c r="H44" s="60"/>
      <c r="I44" s="61"/>
      <c r="J44" s="60" t="n">
        <v>0</v>
      </c>
      <c r="K44" s="62"/>
      <c r="L44" s="62"/>
      <c r="M44" s="63"/>
      <c r="N44" s="4"/>
    </row>
    <row r="45" customFormat="false" ht="11.25" hidden="false" customHeight="true" outlineLevel="0" collapsed="false">
      <c r="A45" s="64" t="s">
        <v>26</v>
      </c>
      <c r="B45" s="65"/>
      <c r="C45" s="65"/>
      <c r="D45" s="65"/>
      <c r="E45" s="65"/>
      <c r="F45" s="65"/>
      <c r="G45" s="65"/>
      <c r="H45" s="66"/>
      <c r="I45" s="67"/>
      <c r="J45" s="66" t="n">
        <v>0</v>
      </c>
      <c r="K45" s="68"/>
      <c r="L45" s="68"/>
      <c r="M45" s="69"/>
      <c r="N45" s="4"/>
    </row>
    <row r="46" customFormat="false" ht="11.25" hidden="false" customHeight="true" outlineLevel="0" collapsed="false">
      <c r="A46" s="70" t="s">
        <v>27</v>
      </c>
      <c r="B46" s="71"/>
      <c r="C46" s="71"/>
      <c r="D46" s="71"/>
      <c r="E46" s="71"/>
      <c r="F46" s="71"/>
      <c r="G46" s="71"/>
      <c r="H46" s="72"/>
      <c r="I46" s="73"/>
      <c r="J46" s="72" t="n">
        <f aca="false">ROWS(A10:A40)-SUM(COUNTIF(K10:K40, {"Weekend","*cuti*","*libur*","*idul*"}))</f>
        <v>18</v>
      </c>
      <c r="K46" s="74"/>
      <c r="L46" s="75"/>
      <c r="M46" s="76"/>
      <c r="N46" s="4"/>
    </row>
    <row r="47" customFormat="false" ht="11.2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77"/>
      <c r="J47" s="77"/>
      <c r="K47" s="77"/>
      <c r="L47" s="77"/>
      <c r="M47" s="77"/>
      <c r="N47" s="4"/>
    </row>
    <row r="48" customFormat="false" ht="11.25" hidden="false" customHeight="true" outlineLevel="0" collapsed="false">
      <c r="A48" s="78"/>
      <c r="B48" s="78"/>
      <c r="C48" s="78"/>
      <c r="D48" s="78"/>
      <c r="E48" s="78"/>
      <c r="F48" s="78"/>
      <c r="G48" s="78"/>
      <c r="H48" s="78"/>
      <c r="I48" s="4"/>
      <c r="J48" s="4"/>
      <c r="K48" s="4"/>
      <c r="L48" s="4"/>
      <c r="M48" s="4"/>
      <c r="N48" s="4"/>
    </row>
    <row r="49" customFormat="false" ht="11.25" hidden="false" customHeight="true" outlineLevel="0" collapsed="false">
      <c r="A49" s="78"/>
      <c r="B49" s="78"/>
      <c r="C49" s="78"/>
      <c r="D49" s="78"/>
      <c r="E49" s="78"/>
      <c r="F49" s="78"/>
      <c r="G49" s="78"/>
      <c r="H49" s="78"/>
      <c r="I49" s="4" t="s">
        <v>28</v>
      </c>
      <c r="J49" s="4"/>
      <c r="K49" s="4"/>
      <c r="L49" s="4"/>
      <c r="M49" s="4"/>
      <c r="N49" s="4"/>
    </row>
    <row r="50" customFormat="false" ht="11.25" hidden="false" customHeight="true" outlineLevel="0" collapsed="false">
      <c r="A50" s="78"/>
      <c r="B50" s="78"/>
      <c r="C50" s="78"/>
      <c r="D50" s="78"/>
      <c r="E50" s="78"/>
      <c r="F50" s="78"/>
      <c r="G50" s="78"/>
      <c r="H50" s="78"/>
      <c r="I50" s="4"/>
      <c r="J50" s="4"/>
      <c r="K50" s="4"/>
      <c r="L50" s="4"/>
      <c r="M50" s="4"/>
      <c r="N50" s="4"/>
    </row>
    <row r="51" customFormat="false" ht="11.25" hidden="false" customHeight="true" outlineLevel="0" collapsed="false">
      <c r="A51" s="78"/>
      <c r="B51" s="78"/>
      <c r="C51" s="78"/>
      <c r="D51" s="78"/>
      <c r="E51" s="78"/>
      <c r="F51" s="78"/>
      <c r="G51" s="78"/>
      <c r="H51" s="78"/>
      <c r="I51" s="4"/>
      <c r="J51" s="4"/>
      <c r="K51" s="4"/>
      <c r="L51" s="4"/>
      <c r="M51" s="4"/>
      <c r="N51" s="4"/>
    </row>
    <row r="52" customFormat="false" ht="11.25" hidden="false" customHeight="true" outlineLevel="0" collapsed="false">
      <c r="A52" s="78"/>
      <c r="B52" s="78"/>
      <c r="C52" s="78"/>
      <c r="D52" s="78"/>
      <c r="E52" s="78"/>
      <c r="F52" s="78"/>
      <c r="G52" s="78"/>
      <c r="H52" s="78"/>
      <c r="I52" s="4"/>
      <c r="J52" s="4"/>
      <c r="K52" s="4"/>
      <c r="L52" s="4"/>
      <c r="M52" s="4"/>
      <c r="N52" s="4"/>
    </row>
    <row r="53" customFormat="false" ht="11.25" hidden="false" customHeight="true" outlineLevel="0" collapsed="false">
      <c r="A53" s="78"/>
      <c r="B53" s="78"/>
      <c r="C53" s="78"/>
      <c r="D53" s="78"/>
      <c r="E53" s="78"/>
      <c r="F53" s="78"/>
      <c r="G53" s="78"/>
      <c r="H53" s="78"/>
      <c r="I53" s="4"/>
      <c r="J53" s="4"/>
      <c r="K53" s="4"/>
      <c r="L53" s="4"/>
      <c r="M53" s="4"/>
      <c r="N53" s="4"/>
    </row>
    <row r="54" customFormat="false" ht="15" hidden="false" customHeight="true" outlineLevel="0" collapsed="false">
      <c r="A54" s="78"/>
      <c r="B54" s="78"/>
      <c r="C54" s="78"/>
      <c r="D54" s="78"/>
      <c r="E54" s="78"/>
      <c r="F54" s="78"/>
      <c r="G54" s="78"/>
      <c r="H54" s="78"/>
      <c r="I54" s="4"/>
      <c r="J54" s="4"/>
      <c r="K54" s="4"/>
      <c r="L54" s="4"/>
      <c r="M54" s="4"/>
    </row>
    <row r="55" customFormat="false" ht="15" hidden="false" customHeight="true" outlineLevel="0" collapsed="false">
      <c r="A55" s="78"/>
      <c r="B55" s="78"/>
      <c r="C55" s="78"/>
      <c r="D55" s="78"/>
      <c r="E55" s="78"/>
      <c r="F55" s="78"/>
      <c r="G55" s="78"/>
      <c r="H55" s="78"/>
      <c r="I55" s="4"/>
      <c r="J55" s="4"/>
      <c r="K55" s="4"/>
      <c r="L55" s="4"/>
      <c r="M55" s="4"/>
    </row>
    <row r="56" customFormat="false" ht="15" hidden="false" customHeight="true" outlineLevel="0" collapsed="false">
      <c r="A56" s="78"/>
      <c r="B56" s="78"/>
      <c r="C56" s="78"/>
      <c r="D56" s="78"/>
      <c r="E56" s="78"/>
      <c r="F56" s="78"/>
      <c r="G56" s="78"/>
      <c r="H56" s="78"/>
      <c r="I56" s="4"/>
      <c r="J56" s="4"/>
      <c r="K56" s="4"/>
      <c r="L56" s="4"/>
      <c r="M56" s="4"/>
    </row>
    <row r="59" customFormat="false" ht="12.8" hidden="true" customHeight="false" outlineLevel="0" collapsed="false">
      <c r="A59" s="38" t="n">
        <v>45658</v>
      </c>
      <c r="B59" s="1" t="s">
        <v>29</v>
      </c>
    </row>
    <row r="60" customFormat="false" ht="12.8" hidden="true" customHeight="false" outlineLevel="0" collapsed="false">
      <c r="A60" s="38" t="n">
        <v>45684</v>
      </c>
      <c r="B60" s="1" t="s">
        <v>30</v>
      </c>
    </row>
    <row r="61" customFormat="false" ht="12.8" hidden="true" customHeight="false" outlineLevel="0" collapsed="false">
      <c r="A61" s="38" t="n">
        <v>45686</v>
      </c>
      <c r="B61" s="1" t="s">
        <v>31</v>
      </c>
    </row>
    <row r="62" customFormat="false" ht="12.8" hidden="true" customHeight="false" outlineLevel="0" collapsed="false">
      <c r="A62" s="38" t="n">
        <v>45745</v>
      </c>
      <c r="B62" s="1" t="s">
        <v>32</v>
      </c>
    </row>
    <row r="63" customFormat="false" ht="12.8" hidden="true" customHeight="false" outlineLevel="0" collapsed="false">
      <c r="A63" s="38" t="n">
        <v>45747</v>
      </c>
      <c r="B63" s="1" t="s">
        <v>33</v>
      </c>
    </row>
    <row r="64" customFormat="false" ht="12.8" hidden="true" customHeight="false" outlineLevel="0" collapsed="false">
      <c r="A64" s="38" t="n">
        <v>45748</v>
      </c>
      <c r="B64" s="1" t="s">
        <v>33</v>
      </c>
    </row>
    <row r="65" customFormat="false" ht="12.8" hidden="true" customHeight="false" outlineLevel="0" collapsed="false">
      <c r="A65" s="38" t="n">
        <v>45765</v>
      </c>
      <c r="B65" s="1" t="s">
        <v>34</v>
      </c>
    </row>
    <row r="66" customFormat="false" ht="12.8" hidden="true" customHeight="false" outlineLevel="0" collapsed="false">
      <c r="A66" s="38" t="n">
        <v>45767</v>
      </c>
      <c r="B66" s="1" t="s">
        <v>35</v>
      </c>
    </row>
    <row r="67" customFormat="false" ht="12.8" hidden="true" customHeight="false" outlineLevel="0" collapsed="false">
      <c r="A67" s="38" t="n">
        <v>45789</v>
      </c>
      <c r="B67" s="1" t="s">
        <v>36</v>
      </c>
    </row>
    <row r="68" customFormat="false" ht="12.8" hidden="true" customHeight="false" outlineLevel="0" collapsed="false">
      <c r="A68" s="38" t="n">
        <v>45806</v>
      </c>
      <c r="B68" s="1" t="s">
        <v>37</v>
      </c>
    </row>
    <row r="69" customFormat="false" ht="12.8" hidden="true" customHeight="false" outlineLevel="0" collapsed="false">
      <c r="A69" s="38" t="n">
        <v>45809</v>
      </c>
      <c r="B69" s="1" t="s">
        <v>38</v>
      </c>
    </row>
    <row r="70" customFormat="false" ht="12.8" hidden="true" customHeight="false" outlineLevel="0" collapsed="false">
      <c r="A70" s="38" t="n">
        <v>45814</v>
      </c>
      <c r="B70" s="1" t="s">
        <v>39</v>
      </c>
    </row>
    <row r="71" customFormat="false" ht="12.8" hidden="true" customHeight="false" outlineLevel="0" collapsed="false">
      <c r="A71" s="38" t="n">
        <v>45835</v>
      </c>
      <c r="B71" s="1" t="s">
        <v>40</v>
      </c>
    </row>
    <row r="72" customFormat="false" ht="12.8" hidden="true" customHeight="false" outlineLevel="0" collapsed="false">
      <c r="A72" s="38" t="n">
        <v>45886</v>
      </c>
      <c r="B72" s="1" t="s">
        <v>41</v>
      </c>
    </row>
    <row r="73" customFormat="false" ht="12.8" hidden="true" customHeight="false" outlineLevel="0" collapsed="false">
      <c r="A73" s="38" t="n">
        <v>45905</v>
      </c>
      <c r="B73" s="1" t="s">
        <v>42</v>
      </c>
    </row>
    <row r="74" customFormat="false" ht="12.8" hidden="true" customHeight="false" outlineLevel="0" collapsed="false">
      <c r="A74" s="38" t="n">
        <v>46016</v>
      </c>
      <c r="B74" s="1" t="s">
        <v>43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3">
    <mergeCell ref="B2:D3"/>
    <mergeCell ref="E2:J3"/>
    <mergeCell ref="K2:K6"/>
    <mergeCell ref="L2:M3"/>
    <mergeCell ref="B4:D4"/>
    <mergeCell ref="E4:J4"/>
    <mergeCell ref="L4:M4"/>
    <mergeCell ref="B5:D5"/>
    <mergeCell ref="E5:J5"/>
    <mergeCell ref="B6:D6"/>
    <mergeCell ref="E6:J6"/>
    <mergeCell ref="K7:M7"/>
    <mergeCell ref="A8:A9"/>
    <mergeCell ref="B8:D8"/>
    <mergeCell ref="E8:G8"/>
    <mergeCell ref="H8:H9"/>
    <mergeCell ref="K8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A42:G43"/>
    <mergeCell ref="I42:I43"/>
    <mergeCell ref="J42:J43"/>
    <mergeCell ref="K42:M42"/>
  </mergeCells>
  <printOptions headings="false" gridLines="false" gridLinesSet="true" horizontalCentered="false" verticalCentered="false"/>
  <pageMargins left="0.249305555555556" right="0.249305555555556" top="0.499305555555556" bottom="0.49930555555555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1784</TotalTime>
  <Application>LibreOffice/7.5.9.2$Windows_x86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2016-10-21T04:13:00Z</dcterms:created>
  <dc:creator>Lena</dc:creator>
  <dc:description/>
  <dc:language>en-ID</dc:language>
  <cp:lastModifiedBy/>
  <dcterms:modified xsi:type="dcterms:W3CDTF">2026-09-20T17:27:28Z</dcterms:modified>
  <cp:revision>115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